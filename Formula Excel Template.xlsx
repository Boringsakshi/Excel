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0594f6bdda63ce/Desktop/"/>
    </mc:Choice>
  </mc:AlternateContent>
  <xr:revisionPtr revIDLastSave="1" documentId="8_{AEE5DA8A-F772-4B0E-A554-1053E2C64027}" xr6:coauthVersionLast="47" xr6:coauthVersionMax="47" xr10:uidLastSave="{00BD3F36-1E11-4401-A55D-6F7EE9286848}"/>
  <bookViews>
    <workbookView xWindow="-96" yWindow="0" windowWidth="11712" windowHeight="12336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3" i="5"/>
  <c r="L4" i="5"/>
  <c r="L5" i="5"/>
  <c r="L6" i="5"/>
  <c r="L7" i="5"/>
  <c r="L8" i="5"/>
  <c r="L9" i="5"/>
  <c r="L10" i="5"/>
  <c r="L2" i="5"/>
  <c r="K2" i="5"/>
  <c r="J2" i="5"/>
  <c r="L3" i="12"/>
  <c r="L4" i="12"/>
  <c r="L5" i="12"/>
  <c r="L6" i="12"/>
  <c r="L7" i="12"/>
  <c r="L8" i="12"/>
  <c r="L9" i="12"/>
  <c r="L10" i="12"/>
  <c r="L2" i="12"/>
  <c r="K3" i="12"/>
  <c r="K4" i="12"/>
  <c r="K5" i="12"/>
  <c r="K6" i="12"/>
  <c r="K7" i="12"/>
  <c r="K8" i="12"/>
  <c r="K9" i="12"/>
  <c r="K10" i="12"/>
  <c r="K2" i="12"/>
  <c r="J3" i="12"/>
  <c r="J4" i="12"/>
  <c r="J5" i="12"/>
  <c r="J6" i="12"/>
  <c r="J7" i="12"/>
  <c r="J8" i="12"/>
  <c r="J9" i="12"/>
  <c r="J10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2" i="7"/>
  <c r="L3" i="7"/>
  <c r="L4" i="7"/>
  <c r="L5" i="7"/>
  <c r="L6" i="7"/>
  <c r="L7" i="7"/>
  <c r="L8" i="7"/>
  <c r="L9" i="7"/>
  <c r="L10" i="7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3" i="6"/>
  <c r="J4" i="6"/>
  <c r="J5" i="6"/>
  <c r="J6" i="6"/>
  <c r="J7" i="6"/>
  <c r="J8" i="6"/>
  <c r="J9" i="6"/>
  <c r="J10" i="6"/>
  <c r="J2" i="6"/>
  <c r="L3" i="3"/>
  <c r="L4" i="3"/>
  <c r="L5" i="3"/>
  <c r="L6" i="3"/>
  <c r="L7" i="3"/>
  <c r="L8" i="3"/>
  <c r="L9" i="3"/>
  <c r="L10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2" i="8"/>
  <c r="J4" i="8"/>
  <c r="J5" i="8"/>
  <c r="J6" i="8"/>
  <c r="J7" i="8"/>
  <c r="J8" i="8"/>
  <c r="J9" i="8"/>
  <c r="J10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<sst xmlns="http://schemas.openxmlformats.org/spreadsheetml/2006/main" count="592" uniqueCount="89">
  <si>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</si>
  <si>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</si>
  <si>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</si>
  <si>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</si>
  <si>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</si>
  <si>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</si>
  <si>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</si>
  <si>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</si>
  <si>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</si>
  <si>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</si>
  <si>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</si>
  <si>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</si>
  <si>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</si>
  <si>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</si>
  <si>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</si>
  <si>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</si>
  <si>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</si>
  <si>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</si>
  <si>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</si>
  <si>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</si>
  <si>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</si>
  <si>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</si>
  <si>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</si>
  <si>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</si>
  <si>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</si>
  <si>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</si>
  <si>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</si>
  <si>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</si>
  <si>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</si>
  <si>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</si>
  <si>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</si>
  <si>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</si>
  <si>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</si>
  <si>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</si>
  <si>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</si>
  <si>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</si>
  <si>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</si>
  <si>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</si>
  <si>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</si>
  <si>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</si>
  <si>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</si>
  <si>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</si>
  <si>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</si>
  <si>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</si>
  <si>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</si>
  <si>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</si>
  <si>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</si>
  <si>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</si>
  <si>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</si>
  <si>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</si>
  <si>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</si>
  <si>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</si>
  <si>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</si>
  <si>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</si>
  <si>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</si>
  <si>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</si>
  <si>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</si>
  <si>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</si>
  <si>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</si>
  <si>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</si>
  <si>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</si>
  <si>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</si>
  <si>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</si>
  <si>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</si>
  <si>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</si>
  <si>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</si>
  <si>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</si>
  <si>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</si>
  <si>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</si>
  <si>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</si>
  <si>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</si>
  <si>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</si>
  <si>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</si>
  <si>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</si>
  <si>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</si>
  <si>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</si>
  <si>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</si>
  <si>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</si>
  <si>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</si>
  <si>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</si>
  <si>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</si>
  <si>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</si>
  <si>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</si>
  <si>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</si>
  <si>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</si>
  <si>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</si>
  <si>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</si>
  <si>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</si>
  <si>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5-6-2001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</si>
</sst>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G1" zoomScale="145" zoomScaleNormal="145"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H1" workbookViewId="0">
      <selection activeCell="L12" sqref="L12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 &gt;30,"Old","Young")</f>
        <v>Young</v>
      </c>
      <c r="K2" t="str">
        <f>_xlfn.IFS(F2:F10="Salesman","Sales",F2:F10="HR","Fire Immediately")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>IF(D2:D11 &gt;30,"Old","Young")</f>
        <v>Young</v>
      </c>
      <c r="K3" t="e">
        <f t="shared" ref="K3:K10" si="0">_xlfn.IFS(F3:F11="Salesman","Sales",F3:F11="HR","Fire Immediately")</f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ref="J3:J10" si="1">IF(D4:D12 &gt;30,"Old","Young")</f>
        <v>Young</v>
      </c>
      <c r="K4" t="str">
        <f t="shared" si="0"/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1"/>
        <v>Old</v>
      </c>
      <c r="K5" t="e">
        <f t="shared" si="0"/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1"/>
        <v>Old</v>
      </c>
      <c r="K6" t="str">
        <f t="shared" si="0"/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1"/>
        <v>Old</v>
      </c>
      <c r="K7" t="e">
        <f t="shared" si="0"/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1"/>
        <v>Old</v>
      </c>
      <c r="K8" t="e">
        <f t="shared" si="0"/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1"/>
        <v>Old</v>
      </c>
      <c r="K9" t="str">
        <f t="shared" si="0"/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1"/>
        <v>Old</v>
      </c>
      <c r="K10" t="e">
        <f t="shared" si="0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C1" workbookViewId="0">
      <selection activeCell="J2" sqref="J2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H1" workbookViewId="0">
      <selection activeCell="M4" sqref="M4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LEFT(B2:B10,3)</f>
        <v>Jim</v>
      </c>
      <c r="L2" t="str">
        <f>RIGHT(A2:A10)</f>
        <v>1</v>
      </c>
      <c r="M2" t="str">
        <f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RIGHT(A3:A11)</f>
        <v>2</v>
      </c>
      <c r="M3" t="str">
        <f t="shared" ref="M3:M10" si="2">RIGHT(H3:H11,4)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topLeftCell="F1" workbookViewId="0">
      <selection activeCell="L17" sqref="L17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2"/>
      <c r="L2" t="str">
        <f>RIGHT(J2:J10,5)</f>
        <v>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TEXT(H3:H11,"dd/mm/yyyy")</f>
        <v>03/10/1999</v>
      </c>
      <c r="K3" s="2"/>
      <c r="L3" t="str">
        <f t="shared" ref="L3:L10" si="1">RIGHT(J3:J11,5)</f>
        <v>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  <c r="L4" t="str">
        <f t="shared" si="1"/>
        <v>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1"/>
        <v>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  <c r="L6" t="str">
        <f t="shared" si="1"/>
        <v>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1"/>
        <v>/1995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  <c r="L8" t="str">
        <f t="shared" si="1"/>
        <v>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1"/>
        <v>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  <c r="L10" t="str">
        <f t="shared" si="1"/>
        <v>/2003</v>
      </c>
    </row>
    <row r="12" spans="1:12" x14ac:dyDescent="0.3">
      <c r="H12" s="1"/>
    </row>
    <row r="13" spans="1:12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3"/>
  <sheetViews>
    <sheetView workbookViewId="0">
      <selection activeCell="K2" sqref="K2:K10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customWidth="1"/>
    <col min="11" max="11" width="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3" si="0">CONCATENATE(B3,C3)</f>
        <v>PamBeasley</v>
      </c>
      <c r="K3" t="str">
        <f t="shared" ref="K3:K10" si="1">CONCATENATE(B3,".",C3,"@gmail.com")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  <c r="J11" t="str">
        <f t="shared" si="0"/>
        <v/>
      </c>
    </row>
    <row r="12" spans="1:11" x14ac:dyDescent="0.3">
      <c r="H12" t="str">
        <f t="shared" si="2"/>
        <v xml:space="preserve"> </v>
      </c>
      <c r="J12" t="str">
        <f t="shared" si="0"/>
        <v/>
      </c>
    </row>
    <row r="13" spans="1:11" x14ac:dyDescent="0.3">
      <c r="J13" t="str">
        <f t="shared" si="0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E1" zoomScale="93" workbookViewId="0">
      <selection activeCell="K10" sqref="K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 "-","/")</f>
        <v>11/2/2001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 "-","/")</f>
        <v>10/3/1999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7/4/2000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1/5/2000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88</v>
      </c>
      <c r="I6" s="2" t="s">
        <v>60</v>
      </c>
      <c r="J6" t="str">
        <f t="shared" si="0"/>
        <v>5-6-2001</v>
      </c>
      <c r="K6" t="str">
        <f t="shared" si="1"/>
        <v>5-6-2001</v>
      </c>
      <c r="L6" t="str">
        <f t="shared" si="2"/>
        <v>5/6/2001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5/6/2001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11/8/2003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6/9/2002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8/10/2003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E1" zoomScale="94" workbookViewId="0">
      <selection activeCell="N11" sqref="N11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SUMIF(G2:G10,"&gt;50,000")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SUM(G3:G11)</f>
        <v>392000</v>
      </c>
      <c r="K3">
        <f t="shared" ref="K3:K10" si="1">SUMIF(G3:G11,"&gt;50,000")</f>
        <v>128000</v>
      </c>
      <c r="L3">
        <f t="shared" ref="L3:L10" si="2">SUMIFS(G3:G11,E3:E11,"Female",D3:D11,"&gt;30")</f>
        <v>88000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356000</v>
      </c>
      <c r="K4">
        <f t="shared" si="1"/>
        <v>128000</v>
      </c>
      <c r="L4">
        <f t="shared" si="2"/>
        <v>88000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293000</v>
      </c>
      <c r="K5">
        <f t="shared" si="1"/>
        <v>65000</v>
      </c>
      <c r="L5">
        <f t="shared" si="2"/>
        <v>88000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246000</v>
      </c>
      <c r="K6">
        <f t="shared" si="1"/>
        <v>65000</v>
      </c>
      <c r="L6">
        <f t="shared" si="2"/>
        <v>41000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196000</v>
      </c>
      <c r="K7">
        <f t="shared" si="1"/>
        <v>65000</v>
      </c>
      <c r="L7">
        <f t="shared" si="2"/>
        <v>41000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131000</v>
      </c>
      <c r="K8">
        <f t="shared" si="1"/>
        <v>0</v>
      </c>
      <c r="L8">
        <f t="shared" si="2"/>
        <v>41000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90000</v>
      </c>
      <c r="K9">
        <f t="shared" si="1"/>
        <v>0</v>
      </c>
      <c r="L9">
        <f t="shared" si="2"/>
        <v>0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42000</v>
      </c>
      <c r="K10">
        <f t="shared" si="1"/>
        <v>0</v>
      </c>
      <c r="L10">
        <f t="shared" si="2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I7" workbookViewId="0">
      <selection activeCell="N8" sqref="N8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COUNTIF(G2:G10,"&gt;45,000")</f>
        <v>5</v>
      </c>
      <c r="L2">
        <f>COUNTIFS(G2:G10,"&gt;45,000",E2:E10,"Male")</f>
        <v>4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L3">
        <f t="shared" ref="L3:L10" si="0">COUNTIFS(G3:G11,"&gt;45,000",E3:E11,"Male")</f>
        <v>4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L4">
        <f t="shared" si="0"/>
        <v>4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L5">
        <f t="shared" si="0"/>
        <v>3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L6">
        <f t="shared" si="0"/>
        <v>3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L7">
        <f t="shared" si="0"/>
        <v>2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L8">
        <f t="shared" si="0"/>
        <v>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L9">
        <f t="shared" si="0"/>
        <v>1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L10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C1" workbookViewId="0">
      <selection activeCell="H25" sqref="H25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Mission Maya</cp:lastModifiedBy>
  <dcterms:created xsi:type="dcterms:W3CDTF">2021-12-16T14:18:34Z</dcterms:created>
  <dcterms:modified xsi:type="dcterms:W3CDTF">2026-09-18T15:37:26Z</dcterms:modified>
</cp:coreProperties>
</file>